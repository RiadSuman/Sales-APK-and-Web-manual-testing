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fa1c986f83d9f1a1/Desktop/My Work/"/>
    </mc:Choice>
  </mc:AlternateContent>
  <xr:revisionPtr revIDLastSave="0" documentId="8_{D0469526-A062-4107-8634-DB8B80B0F7D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definedNames>
    <definedName name="_xlnm._FilterDatabase" localSheetId="0" hidden="1">Sheet1!$A$7:$Y$7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" i="1" l="1"/>
  <c r="J4" i="1"/>
  <c r="J3" i="1"/>
  <c r="J2" i="1"/>
  <c r="J6" i="1" l="1"/>
</calcChain>
</file>

<file path=xl/sharedStrings.xml><?xml version="1.0" encoding="utf-8"?>
<sst xmlns="http://schemas.openxmlformats.org/spreadsheetml/2006/main" count="341" uniqueCount="97">
  <si>
    <t>TEST CASE</t>
  </si>
  <si>
    <t>PASS</t>
  </si>
  <si>
    <t>FAIL</t>
  </si>
  <si>
    <t>Not Executed</t>
  </si>
  <si>
    <t>Out of Scope</t>
  </si>
  <si>
    <t>TOTAL</t>
  </si>
  <si>
    <t>Product</t>
  </si>
  <si>
    <t>Features</t>
  </si>
  <si>
    <t>Test Cases</t>
  </si>
  <si>
    <t>Exepected  Result</t>
  </si>
  <si>
    <t>Actual Result</t>
  </si>
  <si>
    <t>Final Status</t>
  </si>
  <si>
    <t>Remarks</t>
  </si>
  <si>
    <t>SL</t>
  </si>
  <si>
    <t>Manual</t>
  </si>
  <si>
    <t>Area of Testing</t>
  </si>
  <si>
    <t>SMA</t>
  </si>
  <si>
    <t>MANUAL</t>
  </si>
  <si>
    <t>Passed</t>
  </si>
  <si>
    <t>Aris</t>
  </si>
  <si>
    <t>Bikroy App and DB</t>
  </si>
  <si>
    <t>Is it showing discount when I sale less than 60s?</t>
  </si>
  <si>
    <t>Is it showing discount when I sale eual of  60s?</t>
  </si>
  <si>
    <t>Is it showing discount when I sale more than 120s?</t>
  </si>
  <si>
    <t>If I sale and create memo in the same outlet for twice, does the discount show?</t>
  </si>
  <si>
    <t>Is it showing discount when I sale more than 170s?</t>
  </si>
  <si>
    <t>Is it showing discount when I sale more than 220s?</t>
  </si>
  <si>
    <t>Is it showing discount when I sale more than 440s?</t>
  </si>
  <si>
    <t>Is it showing discount when I sale more than 660s?</t>
  </si>
  <si>
    <t>Is it showing discount when I sale more than 1100s?</t>
  </si>
  <si>
    <t>Will not come</t>
  </si>
  <si>
    <t>Will come</t>
  </si>
  <si>
    <t>Is it showing discount when I sale equal or more  than  60s and less than 100s?</t>
  </si>
  <si>
    <t>Is it showing discount when I sale more  than 200 and avobe?</t>
  </si>
  <si>
    <t>Is it showing discount when I sale equal or more  than  100s and less than 199s?</t>
  </si>
  <si>
    <t>Does the outside territories of the list getting the same discount?</t>
  </si>
  <si>
    <t>Will not get</t>
  </si>
  <si>
    <t>Does any outlet or any territory getting discount more than limit?</t>
  </si>
  <si>
    <t>Birkoy App and  DB</t>
  </si>
  <si>
    <t>BDDF</t>
  </si>
  <si>
    <t>BDA</t>
  </si>
  <si>
    <t>Is it showing discount when I sale eual of  30s?</t>
  </si>
  <si>
    <t>Is it showing discount when I sale less than 30s?</t>
  </si>
  <si>
    <t>Is it showing discount when I sale more than 60s and less than 120s ?</t>
  </si>
  <si>
    <t>Is it showing discount when I sale more than 120s and less than 220S?</t>
  </si>
  <si>
    <t>Is it showing discount when I sale more than 220s and less than 440s?</t>
  </si>
  <si>
    <t>Is it showing discount when I sale more than 440s and less than 660s?</t>
  </si>
  <si>
    <t>Is it showing discount when I sale more than 660s and avobe?</t>
  </si>
  <si>
    <t>Any Territory getting this discount out of the list?</t>
  </si>
  <si>
    <t>Will Not get</t>
  </si>
  <si>
    <t>BDA=Black Diamond Advance</t>
  </si>
  <si>
    <t>BBDF= Blacck Diamond Double Filter</t>
  </si>
  <si>
    <t>SMA= Sunmoon American</t>
  </si>
  <si>
    <t>ARIS= ARIS Super Slim</t>
  </si>
  <si>
    <t>Bidi= Special Abul Biri,SAB-12, EAB</t>
  </si>
  <si>
    <t>SFM/SSG/SST= Supreme</t>
  </si>
  <si>
    <t>Match</t>
  </si>
  <si>
    <t>Is it showing discount when I sale less than 6 dozens?</t>
  </si>
  <si>
    <t>Is it showing discount when I sale more than 6 dozens?</t>
  </si>
  <si>
    <t>Does the slab working perfectly?</t>
  </si>
  <si>
    <t>Will Work</t>
  </si>
  <si>
    <t>Is it showing discount when I sale 6 Dozens of match combinely?</t>
  </si>
  <si>
    <t>Will show</t>
  </si>
  <si>
    <t>Is it showing any limit?</t>
  </si>
  <si>
    <t>Will not show</t>
  </si>
  <si>
    <t>Lighter (Aster-ST and SPARK)</t>
  </si>
  <si>
    <t>Does anyone getting this discount if I sale less than 25 pcs in a memo?</t>
  </si>
  <si>
    <t>Does anyone getting this discount if I sale combinely  25 pcs in a memo?</t>
  </si>
  <si>
    <t>Is it showing discount when I sale equal or more than 25 pcs?</t>
  </si>
  <si>
    <r>
      <t xml:space="preserve">Is it showing discount </t>
    </r>
    <r>
      <rPr>
        <b/>
        <sz val="11"/>
        <color theme="1"/>
        <rFont val="Calibri"/>
        <family val="2"/>
        <scheme val="minor"/>
      </rPr>
      <t xml:space="preserve">N </t>
    </r>
    <r>
      <rPr>
        <sz val="11"/>
        <color theme="1"/>
        <rFont val="Calibri"/>
        <family val="2"/>
        <scheme val="minor"/>
      </rPr>
      <t>times when I sale 25*n pcs in a memo?</t>
    </r>
  </si>
  <si>
    <r>
      <t xml:space="preserve">Does anyone getting </t>
    </r>
    <r>
      <rPr>
        <b/>
        <sz val="11"/>
        <color theme="1"/>
        <rFont val="Calibri"/>
        <family val="2"/>
        <scheme val="minor"/>
      </rPr>
      <t xml:space="preserve">N </t>
    </r>
    <r>
      <rPr>
        <sz val="11"/>
        <color theme="1"/>
        <rFont val="Calibri"/>
        <family val="2"/>
        <scheme val="minor"/>
      </rPr>
      <t>time when I sale combinely double amount of pcs in any memo?</t>
    </r>
  </si>
  <si>
    <t>BIRI</t>
  </si>
  <si>
    <t>Is it showing discount when I sale less than 500s?</t>
  </si>
  <si>
    <t>Woll not get</t>
  </si>
  <si>
    <t>Is it getting territory categorywise discount when I sale more than 500s and less than 1000s?</t>
  </si>
  <si>
    <t>Will get</t>
  </si>
  <si>
    <t>Is it getting territory categorywise discount when I sale more than 1000s?</t>
  </si>
  <si>
    <t>SFM,SSG,SST</t>
  </si>
  <si>
    <t>Is it showing gift if I sale more than 50s?</t>
  </si>
  <si>
    <t>Is it showing gift if I sale less than 50s?</t>
  </si>
  <si>
    <t>Does the gift item relavent with memo item?</t>
  </si>
  <si>
    <t>Should be relavent</t>
  </si>
  <si>
    <t>Does the highest selling item is showing as gift?</t>
  </si>
  <si>
    <t>Should get the highest one</t>
  </si>
  <si>
    <t>Is it showing only SFM as gift if I sale equal amount of product in a memo?</t>
  </si>
  <si>
    <t>Should show</t>
  </si>
  <si>
    <t>Does anyone getting more then 10s as gift in any condition?</t>
  </si>
  <si>
    <t>Does anyone getting this gift not being in territory list?</t>
  </si>
  <si>
    <t>For SSG and SST, are they getting actual gift as per their territory products?</t>
  </si>
  <si>
    <t>All</t>
  </si>
  <si>
    <t>Sum of the discount amount will be equal as per policy</t>
  </si>
  <si>
    <t>Should be equal</t>
  </si>
  <si>
    <t>Gift item name will be different as per product and will be actual in final memo</t>
  </si>
  <si>
    <t>should be atual and equal</t>
  </si>
  <si>
    <t>Sum of the disount and gift will be equal with the sum of all memo completed</t>
  </si>
  <si>
    <t>should be stored and saved</t>
  </si>
  <si>
    <t>Data is storing into database as per memo from the device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</si>
</sst>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name val="Verdana"/>
      <family val="2"/>
    </font>
    <font>
      <b/>
      <sz val="12"/>
      <color rgb="FF000000"/>
      <name val="Verdana"/>
      <family val="2"/>
    </font>
    <font>
      <sz val="12"/>
      <name val="Verdana"/>
      <family val="2"/>
    </font>
    <font>
      <b/>
      <sz val="12"/>
      <color rgb="FFFFFFFF"/>
      <name val="Verdana"/>
      <family val="2"/>
    </font>
    <font>
      <sz val="10"/>
      <color rgb="FF000000"/>
      <name val="Verdana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rgb="FF00FF00"/>
        <bgColor rgb="FF00FF00"/>
      </patternFill>
    </fill>
    <fill>
      <patternFill patternType="solid">
        <fgColor rgb="FFD6E3BC"/>
        <bgColor rgb="FFD6E3B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E6B8AF"/>
        <bgColor rgb="FFE6B8A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wrapText="1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top" wrapText="1"/>
    </xf>
    <xf numFmtId="0" fontId="1" fillId="8" borderId="1" xfId="0" applyFont="1" applyFill="1" applyBorder="1" applyAlignment="1">
      <alignment horizontal="left" vertical="top" wrapText="1"/>
    </xf>
    <xf numFmtId="0" fontId="1" fillId="8" borderId="1" xfId="0" applyFont="1" applyFill="1" applyBorder="1" applyAlignment="1">
      <alignment horizontal="center" vertical="top"/>
    </xf>
    <xf numFmtId="0" fontId="5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88"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FF00FF"/>
          <bgColor rgb="FFFF00FF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CC4125"/>
          <bgColor rgb="FFCC4125"/>
        </patternFill>
      </fill>
    </dxf>
    <dxf>
      <fill>
        <patternFill patternType="solid">
          <fgColor rgb="FF93C47D"/>
          <bgColor rgb="FF93C47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6"/>
  <sheetViews>
    <sheetView tabSelected="1" zoomScale="79" workbookViewId="0">
      <selection activeCell="G22" sqref="G22"/>
    </sheetView>
  </sheetViews>
  <sheetFormatPr defaultRowHeight="14.5" x14ac:dyDescent="0.35"/>
  <cols>
    <col min="1" max="1" width="6" bestFit="1" customWidth="1"/>
    <col min="2" max="2" width="24.6328125" style="17" bestFit="1" customWidth="1"/>
    <col min="3" max="3" width="20.08984375" style="17" bestFit="1" customWidth="1"/>
    <col min="4" max="4" width="31.36328125" style="17" bestFit="1" customWidth="1"/>
    <col min="5" max="5" width="78.453125" bestFit="1" customWidth="1"/>
    <col min="6" max="6" width="29.6328125" style="17" bestFit="1" customWidth="1"/>
    <col min="7" max="7" width="21" bestFit="1" customWidth="1"/>
    <col min="8" max="8" width="15.7265625" bestFit="1" customWidth="1"/>
    <col min="9" max="9" width="18" bestFit="1" customWidth="1"/>
    <col min="13" max="13" width="17.36328125" customWidth="1"/>
    <col min="14" max="14" width="59" bestFit="1" customWidth="1"/>
  </cols>
  <sheetData>
    <row r="1" spans="1:25" ht="15.5" x14ac:dyDescent="0.35">
      <c r="D1" s="17" t="s">
        <v>50</v>
      </c>
      <c r="I1" s="1" t="s">
        <v>0</v>
      </c>
      <c r="J1" s="1"/>
    </row>
    <row r="2" spans="1:25" ht="15.5" x14ac:dyDescent="0.35">
      <c r="D2" s="17" t="s">
        <v>51</v>
      </c>
      <c r="I2" s="2" t="s">
        <v>1</v>
      </c>
      <c r="J2" s="3">
        <f>COUNTIF(H8:H352,"Passed")</f>
        <v>71</v>
      </c>
    </row>
    <row r="3" spans="1:25" ht="15.5" x14ac:dyDescent="0.35">
      <c r="D3" s="17" t="s">
        <v>52</v>
      </c>
      <c r="I3" s="4" t="s">
        <v>2</v>
      </c>
      <c r="J3" s="3">
        <f>COUNTIF(H9:H353,"Failed")</f>
        <v>0</v>
      </c>
    </row>
    <row r="4" spans="1:25" ht="15.5" x14ac:dyDescent="0.35">
      <c r="D4" s="17" t="s">
        <v>53</v>
      </c>
      <c r="I4" s="5" t="s">
        <v>3</v>
      </c>
      <c r="J4" s="3">
        <f>COUNTIF(H1:H354,"Not Executed")</f>
        <v>0</v>
      </c>
    </row>
    <row r="5" spans="1:25" ht="15.5" x14ac:dyDescent="0.35">
      <c r="D5" s="17" t="s">
        <v>54</v>
      </c>
      <c r="I5" s="6" t="s">
        <v>4</v>
      </c>
      <c r="J5" s="3">
        <f>COUNTIF(H11:H355,"Out of Scope")</f>
        <v>0</v>
      </c>
    </row>
    <row r="6" spans="1:25" ht="15.5" x14ac:dyDescent="0.35">
      <c r="D6" s="17" t="s">
        <v>55</v>
      </c>
      <c r="I6" s="7" t="s">
        <v>5</v>
      </c>
      <c r="J6" s="8">
        <f>SUM(J2:J5)</f>
        <v>71</v>
      </c>
    </row>
    <row r="7" spans="1:25" s="15" customFormat="1" ht="26.25" customHeight="1" x14ac:dyDescent="0.35">
      <c r="A7" s="9" t="s">
        <v>13</v>
      </c>
      <c r="B7" s="10" t="s">
        <v>6</v>
      </c>
      <c r="C7" s="10" t="s">
        <v>15</v>
      </c>
      <c r="D7" s="10" t="s">
        <v>7</v>
      </c>
      <c r="E7" s="11" t="s">
        <v>8</v>
      </c>
      <c r="F7" s="22" t="s">
        <v>9</v>
      </c>
      <c r="G7" s="12" t="s">
        <v>10</v>
      </c>
      <c r="H7" s="10" t="s">
        <v>11</v>
      </c>
      <c r="I7" s="13" t="s">
        <v>12</v>
      </c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</row>
    <row r="8" spans="1:25" ht="15" x14ac:dyDescent="0.35">
      <c r="A8">
        <v>1</v>
      </c>
      <c r="B8" s="17" t="s">
        <v>16</v>
      </c>
      <c r="C8" s="18" t="s">
        <v>17</v>
      </c>
      <c r="D8" s="18" t="s">
        <v>38</v>
      </c>
      <c r="E8" t="s">
        <v>21</v>
      </c>
      <c r="F8" s="17" t="s">
        <v>30</v>
      </c>
      <c r="H8" s="16" t="s">
        <v>18</v>
      </c>
    </row>
    <row r="9" spans="1:25" ht="15" x14ac:dyDescent="0.35">
      <c r="A9">
        <v>2</v>
      </c>
      <c r="B9" s="17" t="s">
        <v>16</v>
      </c>
      <c r="C9" s="19"/>
      <c r="D9" s="19"/>
      <c r="E9" t="s">
        <v>22</v>
      </c>
      <c r="F9" s="17" t="s">
        <v>31</v>
      </c>
      <c r="H9" s="16" t="s">
        <v>18</v>
      </c>
    </row>
    <row r="10" spans="1:25" ht="15" x14ac:dyDescent="0.35">
      <c r="A10">
        <v>3</v>
      </c>
      <c r="B10" s="17" t="s">
        <v>16</v>
      </c>
      <c r="C10" s="19"/>
      <c r="D10" s="19"/>
      <c r="E10" t="s">
        <v>23</v>
      </c>
      <c r="F10" s="17" t="s">
        <v>31</v>
      </c>
      <c r="H10" s="16" t="s">
        <v>18</v>
      </c>
    </row>
    <row r="11" spans="1:25" ht="15" x14ac:dyDescent="0.35">
      <c r="A11">
        <v>4</v>
      </c>
      <c r="B11" s="17" t="s">
        <v>16</v>
      </c>
      <c r="C11" s="19"/>
      <c r="D11" s="19"/>
      <c r="E11" t="s">
        <v>24</v>
      </c>
      <c r="F11" s="17" t="s">
        <v>31</v>
      </c>
      <c r="H11" s="16" t="s">
        <v>18</v>
      </c>
    </row>
    <row r="12" spans="1:25" ht="15" x14ac:dyDescent="0.35">
      <c r="A12">
        <v>5</v>
      </c>
      <c r="B12" s="17" t="s">
        <v>16</v>
      </c>
      <c r="C12" s="19"/>
      <c r="D12" s="19"/>
      <c r="E12" t="s">
        <v>25</v>
      </c>
      <c r="F12" s="17" t="s">
        <v>31</v>
      </c>
      <c r="H12" s="16" t="s">
        <v>18</v>
      </c>
    </row>
    <row r="13" spans="1:25" ht="15" x14ac:dyDescent="0.35">
      <c r="A13">
        <v>6</v>
      </c>
      <c r="B13" s="17" t="s">
        <v>16</v>
      </c>
      <c r="C13" s="19"/>
      <c r="D13" s="19"/>
      <c r="E13" t="s">
        <v>26</v>
      </c>
      <c r="F13" s="17" t="s">
        <v>31</v>
      </c>
      <c r="H13" s="16" t="s">
        <v>18</v>
      </c>
    </row>
    <row r="14" spans="1:25" ht="15" x14ac:dyDescent="0.35">
      <c r="A14">
        <v>7</v>
      </c>
      <c r="B14" s="17" t="s">
        <v>16</v>
      </c>
      <c r="C14" s="19"/>
      <c r="D14" s="19"/>
      <c r="E14" t="s">
        <v>27</v>
      </c>
      <c r="F14" s="17" t="s">
        <v>31</v>
      </c>
      <c r="H14" s="16" t="s">
        <v>18</v>
      </c>
    </row>
    <row r="15" spans="1:25" ht="15" x14ac:dyDescent="0.35">
      <c r="A15">
        <v>8</v>
      </c>
      <c r="B15" s="17" t="s">
        <v>16</v>
      </c>
      <c r="C15" s="19"/>
      <c r="D15" s="19"/>
      <c r="E15" t="s">
        <v>28</v>
      </c>
      <c r="F15" s="17" t="s">
        <v>31</v>
      </c>
      <c r="H15" s="16" t="s">
        <v>18</v>
      </c>
    </row>
    <row r="16" spans="1:25" ht="15" x14ac:dyDescent="0.35">
      <c r="A16">
        <v>9</v>
      </c>
      <c r="B16" s="17" t="s">
        <v>16</v>
      </c>
      <c r="C16" s="19"/>
      <c r="D16" s="19"/>
      <c r="E16" t="s">
        <v>37</v>
      </c>
      <c r="F16" s="17" t="s">
        <v>36</v>
      </c>
      <c r="H16" s="16" t="s">
        <v>18</v>
      </c>
    </row>
    <row r="17" spans="1:8" ht="15" x14ac:dyDescent="0.35">
      <c r="A17">
        <v>10</v>
      </c>
      <c r="B17" s="17" t="s">
        <v>16</v>
      </c>
      <c r="C17" s="19"/>
      <c r="D17" s="19"/>
      <c r="E17" t="s">
        <v>48</v>
      </c>
      <c r="F17" s="17" t="s">
        <v>49</v>
      </c>
      <c r="H17" s="16" t="s">
        <v>18</v>
      </c>
    </row>
    <row r="18" spans="1:8" ht="15" x14ac:dyDescent="0.35">
      <c r="A18">
        <v>11</v>
      </c>
      <c r="B18" s="17" t="s">
        <v>16</v>
      </c>
      <c r="C18" s="19"/>
      <c r="D18" s="19"/>
      <c r="E18" t="s">
        <v>29</v>
      </c>
      <c r="F18" s="17" t="s">
        <v>31</v>
      </c>
      <c r="H18" s="16" t="s">
        <v>18</v>
      </c>
    </row>
    <row r="20" spans="1:8" ht="15" x14ac:dyDescent="0.35">
      <c r="A20">
        <v>12</v>
      </c>
      <c r="B20" s="17" t="s">
        <v>19</v>
      </c>
      <c r="C20" s="19" t="s">
        <v>17</v>
      </c>
      <c r="D20" s="19" t="s">
        <v>20</v>
      </c>
      <c r="E20" t="s">
        <v>21</v>
      </c>
      <c r="F20" s="17" t="s">
        <v>30</v>
      </c>
      <c r="H20" s="16" t="s">
        <v>18</v>
      </c>
    </row>
    <row r="21" spans="1:8" ht="15" x14ac:dyDescent="0.35">
      <c r="A21">
        <v>13</v>
      </c>
      <c r="B21" s="17" t="s">
        <v>19</v>
      </c>
      <c r="C21" s="19"/>
      <c r="D21" s="19"/>
      <c r="E21" t="s">
        <v>32</v>
      </c>
      <c r="F21" s="17" t="s">
        <v>31</v>
      </c>
      <c r="H21" s="16" t="s">
        <v>18</v>
      </c>
    </row>
    <row r="22" spans="1:8" ht="15" x14ac:dyDescent="0.35">
      <c r="A22">
        <v>14</v>
      </c>
      <c r="B22" s="17" t="s">
        <v>19</v>
      </c>
      <c r="C22" s="19"/>
      <c r="D22" s="19"/>
      <c r="E22" t="s">
        <v>34</v>
      </c>
      <c r="F22" s="17" t="s">
        <v>31</v>
      </c>
      <c r="H22" s="16" t="s">
        <v>18</v>
      </c>
    </row>
    <row r="23" spans="1:8" ht="15" x14ac:dyDescent="0.35">
      <c r="A23">
        <v>15</v>
      </c>
      <c r="B23" s="17" t="s">
        <v>19</v>
      </c>
      <c r="C23" s="19"/>
      <c r="D23" s="19"/>
      <c r="E23" t="s">
        <v>33</v>
      </c>
      <c r="F23" s="17" t="s">
        <v>31</v>
      </c>
      <c r="H23" s="16" t="s">
        <v>18</v>
      </c>
    </row>
    <row r="24" spans="1:8" ht="15" x14ac:dyDescent="0.35">
      <c r="A24">
        <v>16</v>
      </c>
      <c r="B24" s="17" t="s">
        <v>19</v>
      </c>
      <c r="C24" s="19"/>
      <c r="D24" s="19"/>
      <c r="E24" t="s">
        <v>35</v>
      </c>
      <c r="F24" s="17" t="s">
        <v>36</v>
      </c>
      <c r="H24" s="16" t="s">
        <v>18</v>
      </c>
    </row>
    <row r="25" spans="1:8" ht="15" x14ac:dyDescent="0.35">
      <c r="A25">
        <v>17</v>
      </c>
      <c r="B25" s="17" t="s">
        <v>19</v>
      </c>
      <c r="C25" s="19"/>
      <c r="D25" s="19"/>
      <c r="E25" t="s">
        <v>24</v>
      </c>
      <c r="F25" s="17" t="s">
        <v>31</v>
      </c>
      <c r="H25" s="16" t="s">
        <v>18</v>
      </c>
    </row>
    <row r="26" spans="1:8" ht="15" x14ac:dyDescent="0.35">
      <c r="A26">
        <v>18</v>
      </c>
      <c r="B26" s="17" t="s">
        <v>19</v>
      </c>
      <c r="C26" s="19"/>
      <c r="D26" s="19"/>
      <c r="E26" t="s">
        <v>48</v>
      </c>
      <c r="F26" s="17" t="s">
        <v>49</v>
      </c>
      <c r="H26" s="16" t="s">
        <v>18</v>
      </c>
    </row>
    <row r="27" spans="1:8" ht="15" x14ac:dyDescent="0.35">
      <c r="A27">
        <v>19</v>
      </c>
      <c r="B27" s="17" t="s">
        <v>19</v>
      </c>
      <c r="C27" s="19"/>
      <c r="D27" s="19"/>
      <c r="E27" t="s">
        <v>37</v>
      </c>
      <c r="F27" s="17" t="s">
        <v>36</v>
      </c>
      <c r="H27" s="16" t="s">
        <v>18</v>
      </c>
    </row>
    <row r="29" spans="1:8" ht="15" x14ac:dyDescent="0.35">
      <c r="A29">
        <v>20</v>
      </c>
      <c r="B29" s="17" t="s">
        <v>39</v>
      </c>
      <c r="C29" s="19" t="s">
        <v>17</v>
      </c>
      <c r="D29" s="19" t="s">
        <v>20</v>
      </c>
      <c r="E29" t="s">
        <v>21</v>
      </c>
      <c r="F29" s="17" t="s">
        <v>30</v>
      </c>
      <c r="H29" s="16" t="s">
        <v>18</v>
      </c>
    </row>
    <row r="30" spans="1:8" ht="15" x14ac:dyDescent="0.35">
      <c r="A30">
        <v>21</v>
      </c>
      <c r="B30" s="17" t="s">
        <v>39</v>
      </c>
      <c r="C30" s="19"/>
      <c r="D30" s="19"/>
      <c r="E30" t="s">
        <v>22</v>
      </c>
      <c r="F30" s="17" t="s">
        <v>31</v>
      </c>
      <c r="H30" s="16" t="s">
        <v>18</v>
      </c>
    </row>
    <row r="31" spans="1:8" ht="15" x14ac:dyDescent="0.35">
      <c r="A31">
        <v>22</v>
      </c>
      <c r="B31" s="17" t="s">
        <v>39</v>
      </c>
      <c r="C31" s="19"/>
      <c r="D31" s="19"/>
      <c r="E31" t="s">
        <v>23</v>
      </c>
      <c r="F31" s="17" t="s">
        <v>31</v>
      </c>
      <c r="H31" s="16" t="s">
        <v>18</v>
      </c>
    </row>
    <row r="32" spans="1:8" ht="15" x14ac:dyDescent="0.35">
      <c r="A32">
        <v>23</v>
      </c>
      <c r="B32" s="17" t="s">
        <v>39</v>
      </c>
      <c r="C32" s="19"/>
      <c r="D32" s="19"/>
      <c r="E32" t="s">
        <v>24</v>
      </c>
      <c r="F32" s="17" t="s">
        <v>31</v>
      </c>
      <c r="H32" s="16" t="s">
        <v>18</v>
      </c>
    </row>
    <row r="33" spans="1:13" ht="15" x14ac:dyDescent="0.35">
      <c r="A33">
        <v>24</v>
      </c>
      <c r="B33" s="17" t="s">
        <v>39</v>
      </c>
      <c r="C33" s="19"/>
      <c r="D33" s="19"/>
      <c r="E33" t="s">
        <v>25</v>
      </c>
      <c r="F33" s="17" t="s">
        <v>31</v>
      </c>
      <c r="H33" s="16" t="s">
        <v>18</v>
      </c>
    </row>
    <row r="34" spans="1:13" ht="15" x14ac:dyDescent="0.35">
      <c r="A34">
        <v>25</v>
      </c>
      <c r="B34" s="17" t="s">
        <v>39</v>
      </c>
      <c r="C34" s="19"/>
      <c r="D34" s="19"/>
      <c r="E34" t="s">
        <v>26</v>
      </c>
      <c r="F34" s="17" t="s">
        <v>31</v>
      </c>
      <c r="H34" s="16" t="s">
        <v>18</v>
      </c>
      <c r="M34" s="18"/>
    </row>
    <row r="35" spans="1:13" ht="15" x14ac:dyDescent="0.35">
      <c r="A35">
        <v>26</v>
      </c>
      <c r="B35" s="17" t="s">
        <v>39</v>
      </c>
      <c r="C35" s="19"/>
      <c r="D35" s="19"/>
      <c r="E35" t="s">
        <v>27</v>
      </c>
      <c r="F35" s="17" t="s">
        <v>31</v>
      </c>
      <c r="H35" s="16" t="s">
        <v>18</v>
      </c>
      <c r="M35" s="20"/>
    </row>
    <row r="36" spans="1:13" ht="15" x14ac:dyDescent="0.35">
      <c r="A36">
        <v>27</v>
      </c>
      <c r="B36" s="17" t="s">
        <v>39</v>
      </c>
      <c r="C36" s="19"/>
      <c r="D36" s="19"/>
      <c r="E36" t="s">
        <v>28</v>
      </c>
      <c r="F36" s="17" t="s">
        <v>31</v>
      </c>
      <c r="H36" s="16" t="s">
        <v>18</v>
      </c>
      <c r="M36" s="20"/>
    </row>
    <row r="37" spans="1:13" ht="15" x14ac:dyDescent="0.35">
      <c r="A37">
        <v>28</v>
      </c>
      <c r="B37" s="17" t="s">
        <v>39</v>
      </c>
      <c r="C37" s="19"/>
      <c r="D37" s="19"/>
      <c r="E37" t="s">
        <v>37</v>
      </c>
      <c r="F37" s="17" t="s">
        <v>36</v>
      </c>
      <c r="H37" s="16" t="s">
        <v>18</v>
      </c>
      <c r="M37" s="20"/>
    </row>
    <row r="38" spans="1:13" ht="15" x14ac:dyDescent="0.35">
      <c r="A38">
        <v>29</v>
      </c>
      <c r="B38" s="17" t="s">
        <v>39</v>
      </c>
      <c r="C38" s="19"/>
      <c r="D38" s="19"/>
      <c r="E38" t="s">
        <v>48</v>
      </c>
      <c r="F38" s="17" t="s">
        <v>49</v>
      </c>
      <c r="H38" s="16" t="s">
        <v>18</v>
      </c>
      <c r="M38" s="20"/>
    </row>
    <row r="39" spans="1:13" ht="15" x14ac:dyDescent="0.35">
      <c r="A39">
        <v>30</v>
      </c>
      <c r="B39" s="17" t="s">
        <v>39</v>
      </c>
      <c r="C39" s="19"/>
      <c r="D39" s="19"/>
      <c r="E39" t="s">
        <v>29</v>
      </c>
      <c r="F39" s="17" t="s">
        <v>31</v>
      </c>
      <c r="H39" s="16" t="s">
        <v>18</v>
      </c>
      <c r="M39" s="20"/>
    </row>
    <row r="40" spans="1:13" x14ac:dyDescent="0.35">
      <c r="M40" s="20"/>
    </row>
    <row r="41" spans="1:13" ht="15" x14ac:dyDescent="0.35">
      <c r="A41">
        <v>31</v>
      </c>
      <c r="B41" s="17" t="s">
        <v>40</v>
      </c>
      <c r="C41" s="19" t="s">
        <v>17</v>
      </c>
      <c r="D41" s="19" t="s">
        <v>20</v>
      </c>
      <c r="E41" t="s">
        <v>42</v>
      </c>
      <c r="F41" s="17" t="s">
        <v>30</v>
      </c>
      <c r="H41" s="16" t="s">
        <v>18</v>
      </c>
      <c r="M41" s="20"/>
    </row>
    <row r="42" spans="1:13" ht="15" x14ac:dyDescent="0.35">
      <c r="A42">
        <v>32</v>
      </c>
      <c r="B42" s="17" t="s">
        <v>40</v>
      </c>
      <c r="C42" s="19"/>
      <c r="D42" s="19"/>
      <c r="E42" t="s">
        <v>41</v>
      </c>
      <c r="F42" s="17" t="s">
        <v>31</v>
      </c>
      <c r="H42" s="16" t="s">
        <v>18</v>
      </c>
      <c r="M42" s="21"/>
    </row>
    <row r="43" spans="1:13" ht="15" x14ac:dyDescent="0.35">
      <c r="A43">
        <v>33</v>
      </c>
      <c r="B43" s="17" t="s">
        <v>40</v>
      </c>
      <c r="C43" s="19"/>
      <c r="D43" s="19"/>
      <c r="E43" t="s">
        <v>43</v>
      </c>
      <c r="F43" s="17" t="s">
        <v>31</v>
      </c>
      <c r="H43" s="16" t="s">
        <v>18</v>
      </c>
      <c r="M43" s="18"/>
    </row>
    <row r="44" spans="1:13" ht="15" x14ac:dyDescent="0.35">
      <c r="A44">
        <v>34</v>
      </c>
      <c r="B44" s="17" t="s">
        <v>40</v>
      </c>
      <c r="C44" s="19"/>
      <c r="D44" s="19"/>
      <c r="E44" t="s">
        <v>24</v>
      </c>
      <c r="F44" s="17" t="s">
        <v>31</v>
      </c>
      <c r="H44" s="16" t="s">
        <v>18</v>
      </c>
      <c r="M44" s="20"/>
    </row>
    <row r="45" spans="1:13" ht="15" x14ac:dyDescent="0.35">
      <c r="A45">
        <v>35</v>
      </c>
      <c r="B45" s="17" t="s">
        <v>40</v>
      </c>
      <c r="C45" s="19"/>
      <c r="D45" s="19"/>
      <c r="E45" t="s">
        <v>44</v>
      </c>
      <c r="F45" s="17" t="s">
        <v>31</v>
      </c>
      <c r="H45" s="16" t="s">
        <v>18</v>
      </c>
      <c r="M45" s="20"/>
    </row>
    <row r="46" spans="1:13" ht="15" x14ac:dyDescent="0.35">
      <c r="A46">
        <v>36</v>
      </c>
      <c r="B46" s="17" t="s">
        <v>40</v>
      </c>
      <c r="C46" s="19"/>
      <c r="D46" s="19"/>
      <c r="E46" t="s">
        <v>45</v>
      </c>
      <c r="F46" s="17" t="s">
        <v>31</v>
      </c>
      <c r="H46" s="16" t="s">
        <v>18</v>
      </c>
      <c r="M46" s="20"/>
    </row>
    <row r="47" spans="1:13" ht="15" x14ac:dyDescent="0.35">
      <c r="A47">
        <v>37</v>
      </c>
      <c r="B47" s="17" t="s">
        <v>40</v>
      </c>
      <c r="C47" s="19"/>
      <c r="D47" s="19"/>
      <c r="E47" t="s">
        <v>46</v>
      </c>
      <c r="F47" s="17" t="s">
        <v>31</v>
      </c>
      <c r="H47" s="16" t="s">
        <v>18</v>
      </c>
      <c r="M47" s="20"/>
    </row>
    <row r="48" spans="1:13" ht="15" x14ac:dyDescent="0.35">
      <c r="A48">
        <v>38</v>
      </c>
      <c r="B48" s="17" t="s">
        <v>40</v>
      </c>
      <c r="C48" s="19"/>
      <c r="D48" s="19"/>
      <c r="E48" t="s">
        <v>47</v>
      </c>
      <c r="F48" s="17" t="s">
        <v>31</v>
      </c>
      <c r="H48" s="16" t="s">
        <v>18</v>
      </c>
      <c r="M48" s="20"/>
    </row>
    <row r="49" spans="1:13" ht="15" x14ac:dyDescent="0.35">
      <c r="A49">
        <v>39</v>
      </c>
      <c r="B49" s="17" t="s">
        <v>40</v>
      </c>
      <c r="C49" s="19"/>
      <c r="D49" s="19"/>
      <c r="E49" t="s">
        <v>37</v>
      </c>
      <c r="F49" s="17" t="s">
        <v>36</v>
      </c>
      <c r="H49" s="16" t="s">
        <v>18</v>
      </c>
      <c r="M49" s="20"/>
    </row>
    <row r="50" spans="1:13" ht="15" x14ac:dyDescent="0.35">
      <c r="A50">
        <v>40</v>
      </c>
      <c r="B50" s="17" t="s">
        <v>40</v>
      </c>
      <c r="C50" s="19"/>
      <c r="D50" s="19"/>
      <c r="E50" t="s">
        <v>48</v>
      </c>
      <c r="F50" s="17" t="s">
        <v>49</v>
      </c>
      <c r="H50" s="16" t="s">
        <v>18</v>
      </c>
      <c r="M50" s="20"/>
    </row>
    <row r="52" spans="1:13" ht="15" x14ac:dyDescent="0.35">
      <c r="A52">
        <v>41</v>
      </c>
      <c r="B52" s="17" t="s">
        <v>56</v>
      </c>
      <c r="C52" s="19" t="s">
        <v>17</v>
      </c>
      <c r="D52" s="19" t="s">
        <v>20</v>
      </c>
      <c r="E52" t="s">
        <v>57</v>
      </c>
      <c r="F52" s="17" t="s">
        <v>30</v>
      </c>
      <c r="H52" s="16" t="s">
        <v>18</v>
      </c>
    </row>
    <row r="53" spans="1:13" ht="15" x14ac:dyDescent="0.35">
      <c r="A53">
        <v>42</v>
      </c>
      <c r="B53" s="17" t="s">
        <v>56</v>
      </c>
      <c r="C53" s="19"/>
      <c r="D53" s="19"/>
      <c r="E53" t="s">
        <v>58</v>
      </c>
      <c r="F53" s="17" t="s">
        <v>31</v>
      </c>
      <c r="H53" s="16" t="s">
        <v>18</v>
      </c>
    </row>
    <row r="54" spans="1:13" ht="15" x14ac:dyDescent="0.35">
      <c r="A54">
        <v>43</v>
      </c>
      <c r="B54" s="17" t="s">
        <v>56</v>
      </c>
      <c r="C54" s="19"/>
      <c r="D54" s="19"/>
      <c r="E54" t="s">
        <v>59</v>
      </c>
      <c r="F54" s="17" t="s">
        <v>60</v>
      </c>
      <c r="H54" s="16" t="s">
        <v>18</v>
      </c>
    </row>
    <row r="55" spans="1:13" ht="15" x14ac:dyDescent="0.35">
      <c r="A55">
        <v>44</v>
      </c>
      <c r="B55" s="17" t="s">
        <v>56</v>
      </c>
      <c r="C55" s="19"/>
      <c r="D55" s="19"/>
      <c r="E55" t="s">
        <v>61</v>
      </c>
      <c r="F55" s="17" t="s">
        <v>30</v>
      </c>
      <c r="H55" s="16" t="s">
        <v>18</v>
      </c>
    </row>
    <row r="56" spans="1:13" ht="15" x14ac:dyDescent="0.35">
      <c r="A56">
        <v>45</v>
      </c>
      <c r="B56" s="17" t="s">
        <v>56</v>
      </c>
      <c r="C56" s="19"/>
      <c r="D56" s="19"/>
      <c r="E56" t="s">
        <v>24</v>
      </c>
      <c r="F56" s="17" t="s">
        <v>62</v>
      </c>
      <c r="H56" s="16" t="s">
        <v>18</v>
      </c>
    </row>
    <row r="57" spans="1:13" ht="15" x14ac:dyDescent="0.35">
      <c r="A57">
        <v>46</v>
      </c>
      <c r="B57" s="17" t="s">
        <v>56</v>
      </c>
      <c r="C57" s="19"/>
      <c r="D57" s="19"/>
      <c r="E57" t="s">
        <v>63</v>
      </c>
      <c r="F57" s="17" t="s">
        <v>64</v>
      </c>
      <c r="H57" s="16" t="s">
        <v>18</v>
      </c>
    </row>
    <row r="59" spans="1:13" ht="15" x14ac:dyDescent="0.35">
      <c r="A59">
        <v>47</v>
      </c>
      <c r="B59" s="17" t="s">
        <v>65</v>
      </c>
      <c r="C59" s="19" t="s">
        <v>17</v>
      </c>
      <c r="D59" s="19" t="s">
        <v>20</v>
      </c>
      <c r="E59" t="s">
        <v>66</v>
      </c>
      <c r="F59" s="17" t="s">
        <v>36</v>
      </c>
      <c r="H59" s="16" t="s">
        <v>18</v>
      </c>
    </row>
    <row r="60" spans="1:13" ht="15" x14ac:dyDescent="0.35">
      <c r="A60">
        <v>48</v>
      </c>
      <c r="B60" s="17" t="s">
        <v>65</v>
      </c>
      <c r="C60" s="19"/>
      <c r="D60" s="19"/>
      <c r="E60" t="s">
        <v>67</v>
      </c>
      <c r="F60" s="17" t="s">
        <v>36</v>
      </c>
      <c r="H60" s="16" t="s">
        <v>18</v>
      </c>
    </row>
    <row r="61" spans="1:13" ht="15" x14ac:dyDescent="0.35">
      <c r="A61">
        <v>49</v>
      </c>
      <c r="B61" s="17" t="s">
        <v>65</v>
      </c>
      <c r="C61" s="19"/>
      <c r="D61" s="19"/>
      <c r="E61" t="s">
        <v>68</v>
      </c>
      <c r="F61" s="17" t="s">
        <v>62</v>
      </c>
      <c r="H61" s="16" t="s">
        <v>18</v>
      </c>
      <c r="L61" s="16"/>
    </row>
    <row r="62" spans="1:13" ht="15" x14ac:dyDescent="0.35">
      <c r="A62">
        <v>50</v>
      </c>
      <c r="B62" s="17" t="s">
        <v>65</v>
      </c>
      <c r="C62" s="19"/>
      <c r="D62" s="19"/>
      <c r="E62" t="s">
        <v>69</v>
      </c>
      <c r="F62" s="17" t="s">
        <v>62</v>
      </c>
      <c r="H62" s="16" t="s">
        <v>18</v>
      </c>
      <c r="L62" s="16"/>
    </row>
    <row r="63" spans="1:13" ht="15" x14ac:dyDescent="0.35">
      <c r="A63">
        <v>51</v>
      </c>
      <c r="B63" s="17" t="s">
        <v>65</v>
      </c>
      <c r="C63" s="19"/>
      <c r="D63" s="19"/>
      <c r="E63" t="s">
        <v>24</v>
      </c>
      <c r="F63" s="17" t="s">
        <v>62</v>
      </c>
      <c r="H63" s="16" t="s">
        <v>18</v>
      </c>
      <c r="L63" s="16"/>
    </row>
    <row r="64" spans="1:13" ht="15" x14ac:dyDescent="0.35">
      <c r="A64">
        <v>52</v>
      </c>
      <c r="B64" s="17" t="s">
        <v>65</v>
      </c>
      <c r="C64" s="19"/>
      <c r="D64" s="19"/>
      <c r="E64" t="s">
        <v>63</v>
      </c>
      <c r="F64" s="17" t="s">
        <v>64</v>
      </c>
      <c r="H64" s="16" t="s">
        <v>18</v>
      </c>
      <c r="L64" s="16"/>
    </row>
    <row r="65" spans="1:12" ht="15" x14ac:dyDescent="0.35">
      <c r="A65">
        <v>53</v>
      </c>
      <c r="B65" s="17" t="s">
        <v>65</v>
      </c>
      <c r="C65" s="19"/>
      <c r="D65" s="19"/>
      <c r="E65" t="s">
        <v>70</v>
      </c>
      <c r="F65" s="17" t="s">
        <v>64</v>
      </c>
      <c r="H65" s="16" t="s">
        <v>18</v>
      </c>
      <c r="L65" s="16"/>
    </row>
    <row r="66" spans="1:12" ht="15" x14ac:dyDescent="0.35">
      <c r="L66" s="16"/>
    </row>
    <row r="67" spans="1:12" ht="15" x14ac:dyDescent="0.35">
      <c r="A67">
        <v>54</v>
      </c>
      <c r="B67" s="17" t="s">
        <v>71</v>
      </c>
      <c r="C67" s="19" t="s">
        <v>17</v>
      </c>
      <c r="D67" s="19" t="s">
        <v>20</v>
      </c>
      <c r="E67" t="s">
        <v>72</v>
      </c>
      <c r="F67" s="17" t="s">
        <v>73</v>
      </c>
      <c r="H67" s="16" t="s">
        <v>18</v>
      </c>
      <c r="L67" s="16"/>
    </row>
    <row r="68" spans="1:12" ht="15" x14ac:dyDescent="0.35">
      <c r="A68">
        <v>55</v>
      </c>
      <c r="B68" s="17" t="s">
        <v>71</v>
      </c>
      <c r="C68" s="19"/>
      <c r="D68" s="19"/>
      <c r="E68" t="s">
        <v>74</v>
      </c>
      <c r="F68" s="17" t="s">
        <v>75</v>
      </c>
      <c r="H68" s="16" t="s">
        <v>18</v>
      </c>
    </row>
    <row r="69" spans="1:12" ht="15" x14ac:dyDescent="0.35">
      <c r="A69">
        <v>56</v>
      </c>
      <c r="B69" s="17" t="s">
        <v>71</v>
      </c>
      <c r="C69" s="19"/>
      <c r="D69" s="19"/>
      <c r="E69" t="s">
        <v>76</v>
      </c>
      <c r="F69" s="17" t="s">
        <v>75</v>
      </c>
      <c r="H69" s="16" t="s">
        <v>18</v>
      </c>
    </row>
    <row r="70" spans="1:12" ht="15" x14ac:dyDescent="0.35">
      <c r="A70">
        <v>57</v>
      </c>
      <c r="B70" s="17" t="s">
        <v>71</v>
      </c>
      <c r="C70" s="19"/>
      <c r="D70" s="19"/>
      <c r="E70" t="s">
        <v>24</v>
      </c>
      <c r="F70" s="17" t="s">
        <v>64</v>
      </c>
      <c r="H70" s="16" t="s">
        <v>18</v>
      </c>
    </row>
    <row r="71" spans="1:12" ht="15" x14ac:dyDescent="0.35">
      <c r="A71">
        <v>58</v>
      </c>
      <c r="B71" s="17" t="s">
        <v>71</v>
      </c>
      <c r="C71" s="19"/>
      <c r="D71" s="19"/>
      <c r="E71" t="s">
        <v>48</v>
      </c>
      <c r="F71" s="17" t="s">
        <v>49</v>
      </c>
      <c r="H71" s="16" t="s">
        <v>18</v>
      </c>
    </row>
    <row r="72" spans="1:12" ht="15" x14ac:dyDescent="0.35">
      <c r="A72">
        <v>59</v>
      </c>
      <c r="B72" s="17" t="s">
        <v>71</v>
      </c>
      <c r="C72" s="19"/>
      <c r="D72" s="19"/>
      <c r="E72" t="s">
        <v>37</v>
      </c>
      <c r="F72" s="17" t="s">
        <v>36</v>
      </c>
      <c r="H72" s="16" t="s">
        <v>18</v>
      </c>
    </row>
    <row r="74" spans="1:12" ht="15" x14ac:dyDescent="0.35">
      <c r="A74">
        <v>60</v>
      </c>
      <c r="B74" s="17" t="s">
        <v>77</v>
      </c>
      <c r="C74" s="19" t="s">
        <v>17</v>
      </c>
      <c r="D74" s="19" t="s">
        <v>20</v>
      </c>
      <c r="E74" t="s">
        <v>79</v>
      </c>
      <c r="F74" s="17" t="s">
        <v>64</v>
      </c>
      <c r="H74" s="16" t="s">
        <v>18</v>
      </c>
    </row>
    <row r="75" spans="1:12" ht="15" x14ac:dyDescent="0.35">
      <c r="A75">
        <v>61</v>
      </c>
      <c r="B75" s="17" t="s">
        <v>77</v>
      </c>
      <c r="C75" s="19"/>
      <c r="D75" s="19"/>
      <c r="E75" t="s">
        <v>78</v>
      </c>
      <c r="F75" s="17" t="s">
        <v>62</v>
      </c>
      <c r="H75" s="16" t="s">
        <v>18</v>
      </c>
    </row>
    <row r="76" spans="1:12" ht="15" x14ac:dyDescent="0.35">
      <c r="A76">
        <v>62</v>
      </c>
      <c r="B76" s="17" t="s">
        <v>77</v>
      </c>
      <c r="C76" s="19"/>
      <c r="D76" s="19"/>
      <c r="E76" t="s">
        <v>80</v>
      </c>
      <c r="F76" s="17" t="s">
        <v>81</v>
      </c>
      <c r="H76" s="16" t="s">
        <v>18</v>
      </c>
    </row>
    <row r="77" spans="1:12" ht="15" x14ac:dyDescent="0.35">
      <c r="A77">
        <v>63</v>
      </c>
      <c r="B77" s="17" t="s">
        <v>77</v>
      </c>
      <c r="C77" s="19"/>
      <c r="D77" s="19"/>
      <c r="E77" t="s">
        <v>82</v>
      </c>
      <c r="F77" s="17" t="s">
        <v>83</v>
      </c>
      <c r="H77" s="16" t="s">
        <v>18</v>
      </c>
    </row>
    <row r="78" spans="1:12" ht="15" x14ac:dyDescent="0.35">
      <c r="A78">
        <v>64</v>
      </c>
      <c r="B78" s="17" t="s">
        <v>77</v>
      </c>
      <c r="C78" s="19"/>
      <c r="D78" s="19"/>
      <c r="E78" t="s">
        <v>84</v>
      </c>
      <c r="F78" s="17" t="s">
        <v>85</v>
      </c>
      <c r="H78" s="16" t="s">
        <v>18</v>
      </c>
    </row>
    <row r="79" spans="1:12" ht="15" x14ac:dyDescent="0.35">
      <c r="A79">
        <v>65</v>
      </c>
      <c r="B79" s="17" t="s">
        <v>77</v>
      </c>
      <c r="C79" s="19"/>
      <c r="D79" s="19"/>
      <c r="E79" t="s">
        <v>86</v>
      </c>
      <c r="F79" s="17" t="s">
        <v>36</v>
      </c>
      <c r="H79" s="16" t="s">
        <v>18</v>
      </c>
    </row>
    <row r="80" spans="1:12" ht="15" x14ac:dyDescent="0.35">
      <c r="A80">
        <v>66</v>
      </c>
      <c r="B80" s="17" t="s">
        <v>77</v>
      </c>
      <c r="C80" s="19"/>
      <c r="D80" s="19"/>
      <c r="E80" t="s">
        <v>87</v>
      </c>
      <c r="F80" s="17" t="s">
        <v>36</v>
      </c>
      <c r="H80" s="16" t="s">
        <v>18</v>
      </c>
    </row>
    <row r="81" spans="1:8" ht="15" x14ac:dyDescent="0.35">
      <c r="A81">
        <v>67</v>
      </c>
      <c r="B81" s="17" t="s">
        <v>77</v>
      </c>
      <c r="C81" s="19"/>
      <c r="D81" s="19"/>
      <c r="E81" t="s">
        <v>88</v>
      </c>
      <c r="F81" s="17" t="s">
        <v>83</v>
      </c>
      <c r="H81" s="16" t="s">
        <v>18</v>
      </c>
    </row>
    <row r="83" spans="1:8" ht="15" x14ac:dyDescent="0.35">
      <c r="A83">
        <v>68</v>
      </c>
      <c r="B83" s="17" t="s">
        <v>89</v>
      </c>
      <c r="C83" s="19" t="s">
        <v>14</v>
      </c>
      <c r="D83" s="19" t="s">
        <v>20</v>
      </c>
      <c r="E83" s="23" t="s">
        <v>90</v>
      </c>
      <c r="F83" s="17" t="s">
        <v>91</v>
      </c>
      <c r="H83" s="16" t="s">
        <v>18</v>
      </c>
    </row>
    <row r="84" spans="1:8" ht="15" x14ac:dyDescent="0.35">
      <c r="A84">
        <v>69</v>
      </c>
      <c r="B84" s="17" t="s">
        <v>89</v>
      </c>
      <c r="C84" s="19"/>
      <c r="D84" s="19"/>
      <c r="E84" t="s">
        <v>92</v>
      </c>
      <c r="F84" s="17" t="s">
        <v>93</v>
      </c>
      <c r="H84" s="16" t="s">
        <v>18</v>
      </c>
    </row>
    <row r="85" spans="1:8" ht="15" x14ac:dyDescent="0.35">
      <c r="A85">
        <v>70</v>
      </c>
      <c r="B85" s="17" t="s">
        <v>89</v>
      </c>
      <c r="C85" s="19"/>
      <c r="D85" s="19"/>
      <c r="E85" t="s">
        <v>94</v>
      </c>
      <c r="F85" s="17" t="s">
        <v>93</v>
      </c>
      <c r="H85" s="16" t="s">
        <v>18</v>
      </c>
    </row>
    <row r="86" spans="1:8" ht="15" x14ac:dyDescent="0.35">
      <c r="A86">
        <v>71</v>
      </c>
      <c r="B86" s="17" t="s">
        <v>89</v>
      </c>
      <c r="C86" s="19"/>
      <c r="D86" s="19"/>
      <c r="E86" t="s">
        <v>96</v>
      </c>
      <c r="F86" s="17" t="s">
        <v>95</v>
      </c>
      <c r="H86" s="16" t="s">
        <v>18</v>
      </c>
    </row>
  </sheetData>
  <autoFilter ref="A7:Y7" xr:uid="{00000000-0001-0000-0000-000000000000}"/>
  <mergeCells count="20">
    <mergeCell ref="C74:C81"/>
    <mergeCell ref="D74:D81"/>
    <mergeCell ref="C83:C86"/>
    <mergeCell ref="D83:D86"/>
    <mergeCell ref="C52:C57"/>
    <mergeCell ref="D52:D57"/>
    <mergeCell ref="C59:C65"/>
    <mergeCell ref="D59:D65"/>
    <mergeCell ref="C67:C72"/>
    <mergeCell ref="D67:D72"/>
    <mergeCell ref="M34:M42"/>
    <mergeCell ref="M43:M50"/>
    <mergeCell ref="C8:C18"/>
    <mergeCell ref="D8:D18"/>
    <mergeCell ref="D20:D27"/>
    <mergeCell ref="C20:C27"/>
    <mergeCell ref="C29:C39"/>
    <mergeCell ref="D29:D39"/>
    <mergeCell ref="D41:D50"/>
    <mergeCell ref="C41:C50"/>
  </mergeCells>
  <conditionalFormatting sqref="L61:L67 H8:H18">
    <cfRule type="cellIs" dxfId="87" priority="85" operator="equal">
      <formula>"Passed"</formula>
    </cfRule>
    <cfRule type="cellIs" dxfId="86" priority="86" operator="equal">
      <formula>"Failed"</formula>
    </cfRule>
    <cfRule type="cellIs" dxfId="85" priority="87" operator="equal">
      <formula>"Not Executed"</formula>
    </cfRule>
    <cfRule type="cellIs" dxfId="84" priority="88" operator="equal">
      <formula>"Out of Scope"</formula>
    </cfRule>
  </conditionalFormatting>
  <conditionalFormatting sqref="H20:H27">
    <cfRule type="cellIs" dxfId="83" priority="81" operator="equal">
      <formula>"Passed"</formula>
    </cfRule>
    <cfRule type="cellIs" dxfId="82" priority="82" operator="equal">
      <formula>"Failed"</formula>
    </cfRule>
    <cfRule type="cellIs" dxfId="81" priority="83" operator="equal">
      <formula>"Not Executed"</formula>
    </cfRule>
    <cfRule type="cellIs" dxfId="80" priority="84" operator="equal">
      <formula>"Out of Scope"</formula>
    </cfRule>
  </conditionalFormatting>
  <conditionalFormatting sqref="H29:H39">
    <cfRule type="cellIs" dxfId="79" priority="77" operator="equal">
      <formula>"Passed"</formula>
    </cfRule>
    <cfRule type="cellIs" dxfId="78" priority="78" operator="equal">
      <formula>"Failed"</formula>
    </cfRule>
    <cfRule type="cellIs" dxfId="77" priority="79" operator="equal">
      <formula>"Not Executed"</formula>
    </cfRule>
    <cfRule type="cellIs" dxfId="76" priority="80" operator="equal">
      <formula>"Out of Scope"</formula>
    </cfRule>
  </conditionalFormatting>
  <conditionalFormatting sqref="H41:H50">
    <cfRule type="cellIs" dxfId="75" priority="73" operator="equal">
      <formula>"Passed"</formula>
    </cfRule>
    <cfRule type="cellIs" dxfId="74" priority="74" operator="equal">
      <formula>"Failed"</formula>
    </cfRule>
    <cfRule type="cellIs" dxfId="73" priority="75" operator="equal">
      <formula>"Not Executed"</formula>
    </cfRule>
    <cfRule type="cellIs" dxfId="72" priority="76" operator="equal">
      <formula>"Out of Scope"</formula>
    </cfRule>
  </conditionalFormatting>
  <conditionalFormatting sqref="H52:H57">
    <cfRule type="cellIs" dxfId="19" priority="17" operator="equal">
      <formula>"Passed"</formula>
    </cfRule>
    <cfRule type="cellIs" dxfId="18" priority="18" operator="equal">
      <formula>"Failed"</formula>
    </cfRule>
    <cfRule type="cellIs" dxfId="17" priority="19" operator="equal">
      <formula>"Not Executed"</formula>
    </cfRule>
    <cfRule type="cellIs" dxfId="16" priority="20" operator="equal">
      <formula>"Out of Scope"</formula>
    </cfRule>
  </conditionalFormatting>
  <conditionalFormatting sqref="H67:H72">
    <cfRule type="cellIs" dxfId="15" priority="13" operator="equal">
      <formula>"Passed"</formula>
    </cfRule>
    <cfRule type="cellIs" dxfId="14" priority="14" operator="equal">
      <formula>"Failed"</formula>
    </cfRule>
    <cfRule type="cellIs" dxfId="13" priority="15" operator="equal">
      <formula>"Not Executed"</formula>
    </cfRule>
    <cfRule type="cellIs" dxfId="12" priority="16" operator="equal">
      <formula>"Out of Scope"</formula>
    </cfRule>
  </conditionalFormatting>
  <conditionalFormatting sqref="H59:H65">
    <cfRule type="cellIs" dxfId="11" priority="9" operator="equal">
      <formula>"Passed"</formula>
    </cfRule>
    <cfRule type="cellIs" dxfId="10" priority="10" operator="equal">
      <formula>"Failed"</formula>
    </cfRule>
    <cfRule type="cellIs" dxfId="9" priority="11" operator="equal">
      <formula>"Not Executed"</formula>
    </cfRule>
    <cfRule type="cellIs" dxfId="8" priority="12" operator="equal">
      <formula>"Out of Scope"</formula>
    </cfRule>
  </conditionalFormatting>
  <conditionalFormatting sqref="H74:H81">
    <cfRule type="cellIs" dxfId="7" priority="5" operator="equal">
      <formula>"Passed"</formula>
    </cfRule>
    <cfRule type="cellIs" dxfId="6" priority="6" operator="equal">
      <formula>"Failed"</formula>
    </cfRule>
    <cfRule type="cellIs" dxfId="5" priority="7" operator="equal">
      <formula>"Not Executed"</formula>
    </cfRule>
    <cfRule type="cellIs" dxfId="4" priority="8" operator="equal">
      <formula>"Out of Scope"</formula>
    </cfRule>
  </conditionalFormatting>
  <conditionalFormatting sqref="H83:H86">
    <cfRule type="cellIs" dxfId="3" priority="1" operator="equal">
      <formula>"Passed"</formula>
    </cfRule>
    <cfRule type="cellIs" dxfId="2" priority="2" operator="equal">
      <formula>"Failed"</formula>
    </cfRule>
    <cfRule type="cellIs" dxfId="1" priority="3" operator="equal">
      <formula>"Not Executed"</formula>
    </cfRule>
    <cfRule type="cellIs" dxfId="0" priority="4" operator="equal">
      <formula>"Out of Scope"</formula>
    </cfRule>
  </conditionalFormatting>
  <dataValidations count="1">
    <dataValidation type="list" allowBlank="1" sqref="L61:L67 H8:H18 H20:H27 H29:H39 H52:H57 H41:H50 H67:H72 H74:H81 H59:H65 H83:H86" xr:uid="{78E6D8AB-3D2D-497D-B4CA-5ECC7AE87946}">
      <formula1>"Passed,Failed,Not Executed,Out of Scope"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Suffix_IT</dc:creator>
  <cp:lastModifiedBy>Riad Mohammad Suman</cp:lastModifiedBy>
  <dcterms:created xsi:type="dcterms:W3CDTF">2015-06-05T18:17:20Z</dcterms:created>
  <dcterms:modified xsi:type="dcterms:W3CDTF">2025-04-10T07:09:22Z</dcterms:modified>
</cp:coreProperties>
</file>